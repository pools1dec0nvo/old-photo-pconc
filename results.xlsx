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-A-Dataset-A-PC-1" sheetId="1" r:id="rId4"/>
    <sheet state="visible" name="App-A-Dataset-A-PC-2" sheetId="2" r:id="rId5"/>
    <sheet state="visible" name="App-B-Dataset-A-PC-1" sheetId="3" r:id="rId6"/>
    <sheet state="visible" name="App-B-Dataset-A-PC-2" sheetId="4" r:id="rId7"/>
    <sheet state="visible" name="App-A-Dataset-B-PC-1" sheetId="5" r:id="rId8"/>
    <sheet state="visible" name="App-A-Dataset-B-PC-2" sheetId="6" r:id="rId9"/>
    <sheet state="visible" name="App-B-Dataset-B-PC-1" sheetId="7" r:id="rId10"/>
    <sheet state="visible" name="App-B-Dataset-B-PC-2" sheetId="8" r:id="rId11"/>
  </sheets>
  <definedNames/>
  <calcPr/>
</workbook>
</file>

<file path=xl/sharedStrings.xml><?xml version="1.0" encoding="utf-8"?>
<sst xmlns="http://schemas.openxmlformats.org/spreadsheetml/2006/main" count="112" uniqueCount="15">
  <si>
    <t>dataset</t>
  </si>
  <si>
    <t>Dataset-A</t>
  </si>
  <si>
    <t>Computer</t>
  </si>
  <si>
    <t>MacBook Pro M3 Max 48GB 16C/16T</t>
  </si>
  <si>
    <t>App</t>
  </si>
  <si>
    <t>Old-photo-paralelo-A</t>
  </si>
  <si>
    <t>Time (s)</t>
  </si>
  <si>
    <t>Speedup</t>
  </si>
  <si>
    <t>Threads</t>
  </si>
  <si>
    <t>Sort_size</t>
  </si>
  <si>
    <t>Sort_name</t>
  </si>
  <si>
    <t>UTM</t>
  </si>
  <si>
    <t>Old-photo-paralelo-B</t>
  </si>
  <si>
    <t>Dataset-B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</si>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</sst>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F2A1"/>
        <bgColor rgb="FFE8F2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'App-A-Dataset-A-PC-1'!$A$8:$A$15</c:f>
            </c:numRef>
          </c:xVal>
          <c:yVal>
            <c:numRef>
              <c:f>'App-A-Dataset-A-PC-1'!$B$8:$B$15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'App-A-Dataset-A-PC-1'!$A$8:$A$15</c:f>
            </c:numRef>
          </c:xVal>
          <c:yVal>
            <c:numRef>
              <c:f>'App-A-Dataset-A-PC-1'!$C$8:$C$15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092807"/>
        <c:axId val="1295984213"/>
      </c:scatterChart>
      <c:valAx>
        <c:axId val="2082092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295984213"/>
      </c:valAx>
      <c:valAx>
        <c:axId val="1295984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2082092807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'App-A-Dataset-A-PC-1'!$E$8:$E$15</c:f>
            </c:numRef>
          </c:xVal>
          <c:yVal>
            <c:numRef>
              <c:f>'App-A-Dataset-A-PC-1'!$F$8:$F$15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'App-A-Dataset-A-PC-1'!$E$8:$E$15</c:f>
            </c:numRef>
          </c:xVal>
          <c:yVal>
            <c:numRef>
              <c:f>'App-A-Dataset-A-PC-1'!$G$8:$G$15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76977"/>
        <c:axId val="177033363"/>
      </c:scatterChart>
      <c:valAx>
        <c:axId val="1671476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77033363"/>
      </c:valAx>
      <c:valAx>
        <c:axId val="17703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671476977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'App-A-Dataset-A-PC-2'!$A$8:$A$15</c:f>
            </c:numRef>
          </c:xVal>
          <c:yVal>
            <c:numRef>
              <c:f>'App-A-Dataset-A-PC-2'!$B$8:$B$15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'App-A-Dataset-A-PC-2'!$A$8:$A$15</c:f>
            </c:numRef>
          </c:xVal>
          <c:yVal>
            <c:numRef>
              <c:f>'App-A-Dataset-A-PC-2'!$C$8:$C$15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17439"/>
        <c:axId val="137487947"/>
      </c:scatterChart>
      <c:valAx>
        <c:axId val="84051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37487947"/>
      </c:valAx>
      <c:valAx>
        <c:axId val="137487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840517439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'App-A-Dataset-A-PC-2'!$E$8:$E$15</c:f>
            </c:numRef>
          </c:xVal>
          <c:yVal>
            <c:numRef>
              <c:f>'App-A-Dataset-A-PC-2'!$F$8:$F$15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'App-A-Dataset-A-PC-2'!$E$8:$E$15</c:f>
            </c:numRef>
          </c:xVal>
          <c:yVal>
            <c:numRef>
              <c:f>'App-A-Dataset-A-PC-2'!$G$8:$G$15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478367"/>
        <c:axId val="1194733858"/>
      </c:scatterChart>
      <c:valAx>
        <c:axId val="152647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194733858"/>
      </c:valAx>
      <c:valAx>
        <c:axId val="1194733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526478367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'App-B-Dataset-A-PC-1'!$A$8:$A$15</c:f>
            </c:numRef>
          </c:xVal>
          <c:yVal>
            <c:numRef>
              <c:f>'App-B-Dataset-A-PC-1'!$B$8:$B$15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'App-B-Dataset-A-PC-1'!$A$8:$A$15</c:f>
            </c:numRef>
          </c:xVal>
          <c:yVal>
            <c:numRef>
              <c:f>'App-B-Dataset-A-PC-1'!$C$8:$C$15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520263"/>
        <c:axId val="860979118"/>
      </c:scatterChart>
      <c:valAx>
        <c:axId val="1115520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860979118"/>
      </c:valAx>
      <c:valAx>
        <c:axId val="860979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115520263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'App-B-Dataset-A-PC-1'!$E$8:$E$15</c:f>
            </c:numRef>
          </c:xVal>
          <c:yVal>
            <c:numRef>
              <c:f>'App-B-Dataset-A-PC-1'!$F$8:$F$15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'App-B-Dataset-A-PC-1'!$E$8:$E$15</c:f>
            </c:numRef>
          </c:xVal>
          <c:yVal>
            <c:numRef>
              <c:f>'App-B-Dataset-A-PC-1'!$G$8:$G$15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26489"/>
        <c:axId val="559600804"/>
      </c:scatterChart>
      <c:valAx>
        <c:axId val="1630426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559600804"/>
      </c:valAx>
      <c:valAx>
        <c:axId val="559600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630426489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'App-B-Dataset-A-PC-2'!$A$8:$A$15</c:f>
            </c:numRef>
          </c:xVal>
          <c:yVal>
            <c:numRef>
              <c:f>'App-B-Dataset-A-PC-2'!$B$8:$B$15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'App-B-Dataset-A-PC-2'!$A$8:$A$15</c:f>
            </c:numRef>
          </c:xVal>
          <c:yVal>
            <c:numRef>
              <c:f>'App-B-Dataset-A-PC-2'!$C$8:$C$15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157740"/>
        <c:axId val="2077606060"/>
      </c:scatterChart>
      <c:valAx>
        <c:axId val="1874157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2077606060"/>
      </c:valAx>
      <c:valAx>
        <c:axId val="2077606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874157740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'App-B-Dataset-A-PC-2'!$E$8:$E$15</c:f>
            </c:numRef>
          </c:xVal>
          <c:yVal>
            <c:numRef>
              <c:f>'App-B-Dataset-A-PC-2'!$F$8:$F$15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'App-B-Dataset-A-PC-2'!$E$8:$E$15</c:f>
            </c:numRef>
          </c:xVal>
          <c:yVal>
            <c:numRef>
              <c:f>'App-B-Dataset-A-PC-2'!$G$8:$G$15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711158"/>
        <c:axId val="799356096"/>
      </c:scatterChart>
      <c:valAx>
        <c:axId val="1947711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799356096"/>
      </c:valAx>
      <c:valAx>
        <c:axId val="79935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947711158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'App-A-Dataset-B-PC-1'!$A$8:$A$15</c:f>
            </c:numRef>
          </c:xVal>
          <c:yVal>
            <c:numRef>
              <c:f>'App-A-Dataset-B-PC-1'!$B$8:$B$15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'App-A-Dataset-B-PC-1'!$A$8:$A$15</c:f>
            </c:numRef>
          </c:xVal>
          <c:yVal>
            <c:numRef>
              <c:f>'App-A-Dataset-B-PC-1'!$C$8:$C$15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440311"/>
        <c:axId val="347319233"/>
      </c:scatterChart>
      <c:valAx>
        <c:axId val="978440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347319233"/>
      </c:valAx>
      <c:valAx>
        <c:axId val="347319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978440311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'App-A-Dataset-B-PC-1'!$E$8:$E$15</c:f>
            </c:numRef>
          </c:xVal>
          <c:yVal>
            <c:numRef>
              <c:f>'App-A-Dataset-B-PC-1'!$F$8:$F$15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'App-A-Dataset-B-PC-1'!$E$8:$E$15</c:f>
            </c:numRef>
          </c:xVal>
          <c:yVal>
            <c:numRef>
              <c:f>'App-A-Dataset-B-PC-1'!$G$8:$G$15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650608"/>
        <c:axId val="1319039184"/>
      </c:scatterChart>
      <c:valAx>
        <c:axId val="139665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319039184"/>
      </c:valAx>
      <c:valAx>
        <c:axId val="1319039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396650608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'App-A-Dataset-B-PC-2'!$A$8:$A$15</c:f>
            </c:numRef>
          </c:xVal>
          <c:yVal>
            <c:numRef>
              <c:f>'App-A-Dataset-B-PC-2'!$B$8:$B$15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'App-A-Dataset-B-PC-2'!$A$8:$A$15</c:f>
            </c:numRef>
          </c:xVal>
          <c:yVal>
            <c:numRef>
              <c:f>'App-A-Dataset-B-PC-2'!$C$8:$C$15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885818"/>
        <c:axId val="509881881"/>
      </c:scatterChart>
      <c:valAx>
        <c:axId val="1740885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509881881"/>
      </c:valAx>
      <c:valAx>
        <c:axId val="509881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740885818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'App-A-Dataset-B-PC-2'!$E$8:$E$15</c:f>
            </c:numRef>
          </c:xVal>
          <c:yVal>
            <c:numRef>
              <c:f>'App-A-Dataset-B-PC-2'!$F$8:$F$15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'App-A-Dataset-B-PC-2'!$E$8:$E$15</c:f>
            </c:numRef>
          </c:xVal>
          <c:yVal>
            <c:numRef>
              <c:f>'App-A-Dataset-B-PC-2'!$G$8:$G$15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76855"/>
        <c:axId val="881738436"/>
      </c:scatterChart>
      <c:valAx>
        <c:axId val="911776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881738436"/>
      </c:valAx>
      <c:valAx>
        <c:axId val="881738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911776855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'App-B-Dataset-B-PC-1'!$A$8:$A$15</c:f>
            </c:numRef>
          </c:xVal>
          <c:yVal>
            <c:numRef>
              <c:f>'App-B-Dataset-B-PC-1'!$B$8:$B$15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'App-B-Dataset-B-PC-1'!$A$8:$A$15</c:f>
            </c:numRef>
          </c:xVal>
          <c:yVal>
            <c:numRef>
              <c:f>'App-B-Dataset-B-PC-1'!$C$8:$C$15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234344"/>
        <c:axId val="1799584380"/>
      </c:scatterChart>
      <c:valAx>
        <c:axId val="495234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799584380"/>
      </c:valAx>
      <c:valAx>
        <c:axId val="1799584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495234344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'App-B-Dataset-B-PC-1'!$E$8:$E$15</c:f>
            </c:numRef>
          </c:xVal>
          <c:yVal>
            <c:numRef>
              <c:f>'App-B-Dataset-B-PC-1'!$F$8:$F$15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'App-B-Dataset-B-PC-1'!$E$8:$E$15</c:f>
            </c:numRef>
          </c:xVal>
          <c:yVal>
            <c:numRef>
              <c:f>'App-B-Dataset-B-PC-1'!$G$8:$G$15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95139"/>
        <c:axId val="731830998"/>
      </c:scatterChart>
      <c:valAx>
        <c:axId val="446595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731830998"/>
      </c:valAx>
      <c:valAx>
        <c:axId val="731830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446595139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11888986123"/>
          <c:y val="0.0419720186542305"/>
          <c:w val="0.896362045255657"/>
          <c:h val="0.79891183655340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'App-B-Dataset-B-PC-2'!$A$8:$A$15</c:f>
            </c:numRef>
          </c:xVal>
          <c:yVal>
            <c:numRef>
              <c:f>'App-B-Dataset-B-PC-2'!$B$8:$B$15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'App-B-Dataset-B-PC-2'!$A$8:$A$15</c:f>
            </c:numRef>
          </c:xVal>
          <c:yVal>
            <c:numRef>
              <c:f>'App-B-Dataset-B-PC-2'!$C$8:$C$15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333276"/>
        <c:axId val="675176245"/>
      </c:scatterChart>
      <c:valAx>
        <c:axId val="1277333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675176245"/>
      </c:valAx>
      <c:valAx>
        <c:axId val="675176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277333276"/>
      </c:valAx>
    </c:plotArea>
    <c:legend>
      <c:legendPos val="r"/>
      <c:layout>
        <c:manualLayout>
          <c:xMode val="edge"/>
          <c:yMode val="edge"/>
          <c:x val="0.687273409176147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012876609576"/>
          <c:y val="0.0420830557406174"/>
          <c:w val="0.88273534191774"/>
          <c:h val="0.787252942482789"/>
        </c:manualLayout>
      </c:layout>
      <c:scatterChart>
        <c:scatterStyle val="lineMarker"/>
        <c:ser>
          <c:idx val="0"/>
          <c:order val="0"/>
          <c:tx>
            <c:v>Sort_size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'App-B-Dataset-B-PC-2'!$E$8:$E$15</c:f>
            </c:numRef>
          </c:xVal>
          <c:yVal>
            <c:numRef>
              <c:f>'App-B-Dataset-B-PC-2'!$F$8:$F$15</c:f>
              <c:numCache/>
            </c:numRef>
          </c:yVal>
        </c:ser>
        <c:ser>
          <c:idx val="1"/>
          <c:order val="1"/>
          <c:tx>
            <c:v>Sort_name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20E"/>
              </a:solidFill>
              <a:ln cmpd="sng">
                <a:solidFill>
                  <a:srgbClr val="FF420E"/>
                </a:solidFill>
              </a:ln>
            </c:spPr>
          </c:marker>
          <c:xVal>
            <c:numRef>
              <c:f>'App-B-Dataset-B-PC-2'!$E$8:$E$15</c:f>
            </c:numRef>
          </c:xVal>
          <c:yVal>
            <c:numRef>
              <c:f>'App-B-Dataset-B-PC-2'!$G$8:$G$15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206171"/>
        <c:axId val="1741425242"/>
      </c:scatterChart>
      <c:valAx>
        <c:axId val="1611206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741425242"/>
      </c:valAx>
      <c:valAx>
        <c:axId val="1741425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611206171"/>
      </c:valAx>
    </c:plotArea>
    <c:legend>
      <c:legendPos val="r"/>
      <c:layout>
        <c:manualLayout>
          <c:xMode val="edge"/>
          <c:yMode val="edge"/>
          <c:x val="0.673521690211276"/>
          <c:y val="0.256828780812791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200775" cy="32385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18</xdr:row>
      <xdr:rowOff>76200</xdr:rowOff>
    </xdr:from>
    <xdr:ext cx="5105400" cy="323850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1" t="s">
        <v>0</v>
      </c>
      <c r="B1" s="2" t="s">
        <v>1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3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2" t="s">
        <v>5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37.085943</v>
      </c>
      <c r="C8" s="7">
        <v>37.010599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18.777711</v>
      </c>
      <c r="C9" s="7">
        <v>18.807697</v>
      </c>
      <c r="D9" s="1"/>
      <c r="E9" s="1">
        <v>2.0</v>
      </c>
      <c r="F9" s="1">
        <f t="shared" ref="F9:G9" si="2">B$8/B9</f>
        <v>1.974998071</v>
      </c>
      <c r="G9" s="1">
        <f t="shared" si="2"/>
        <v>1.967843219</v>
      </c>
      <c r="H9" s="1"/>
      <c r="I9" s="1"/>
    </row>
    <row r="10" ht="12.75" customHeight="1">
      <c r="A10" s="1">
        <v>3.0</v>
      </c>
      <c r="B10" s="7">
        <v>12.672313</v>
      </c>
      <c r="C10" s="7">
        <v>12.838605</v>
      </c>
      <c r="D10" s="1"/>
      <c r="E10" s="1">
        <v>3.0</v>
      </c>
      <c r="F10" s="1">
        <f t="shared" ref="F10:G10" si="3">B$8/B10</f>
        <v>2.926533065</v>
      </c>
      <c r="G10" s="1">
        <f t="shared" si="3"/>
        <v>2.882758602</v>
      </c>
      <c r="H10" s="1"/>
      <c r="I10" s="1"/>
    </row>
    <row r="11" ht="12.75" customHeight="1">
      <c r="A11" s="1">
        <v>4.0</v>
      </c>
      <c r="B11" s="7">
        <v>10.423917</v>
      </c>
      <c r="C11" s="7">
        <v>10.079849</v>
      </c>
      <c r="D11" s="1"/>
      <c r="E11" s="1">
        <v>4.0</v>
      </c>
      <c r="F11" s="1">
        <f t="shared" ref="F11:G11" si="4">B$8/B11</f>
        <v>3.557774203</v>
      </c>
      <c r="G11" s="1">
        <f t="shared" si="4"/>
        <v>3.671741412</v>
      </c>
      <c r="H11" s="1"/>
      <c r="I11" s="1"/>
    </row>
    <row r="12" ht="12.75" customHeight="1">
      <c r="A12" s="1">
        <v>5.0</v>
      </c>
      <c r="B12" s="7">
        <v>8.45739</v>
      </c>
      <c r="C12" s="7">
        <v>8.842056</v>
      </c>
      <c r="D12" s="1"/>
      <c r="E12" s="1">
        <v>5.0</v>
      </c>
      <c r="F12" s="1">
        <f t="shared" ref="F12:G12" si="5">B$8/B12</f>
        <v>4.385034035</v>
      </c>
      <c r="G12" s="1">
        <f t="shared" si="5"/>
        <v>4.185745827</v>
      </c>
      <c r="H12" s="1"/>
      <c r="I12" s="1"/>
    </row>
    <row r="13" ht="12.75" customHeight="1">
      <c r="A13" s="1">
        <v>8.0</v>
      </c>
      <c r="B13" s="7">
        <v>6.822949</v>
      </c>
      <c r="C13" s="7">
        <v>6.846586</v>
      </c>
      <c r="D13" s="1"/>
      <c r="E13" s="1">
        <v>8.0</v>
      </c>
      <c r="F13" s="1">
        <f t="shared" ref="F13:G13" si="6">B$8/B13</f>
        <v>5.435471231</v>
      </c>
      <c r="G13" s="1">
        <f t="shared" si="6"/>
        <v>5.405701323</v>
      </c>
      <c r="H13" s="1"/>
      <c r="I13" s="1"/>
    </row>
    <row r="14" ht="12.75" customHeight="1">
      <c r="A14" s="1">
        <v>16.0</v>
      </c>
      <c r="B14" s="7">
        <v>4.157464</v>
      </c>
      <c r="C14" s="7">
        <v>4.185385</v>
      </c>
      <c r="D14" s="1"/>
      <c r="E14" s="1">
        <v>16.0</v>
      </c>
      <c r="F14" s="1">
        <f t="shared" ref="F14:G14" si="7">B$8/B14</f>
        <v>8.920328113</v>
      </c>
      <c r="G14" s="1">
        <f t="shared" si="7"/>
        <v>8.842818283</v>
      </c>
      <c r="H14" s="1"/>
      <c r="I14" s="1"/>
    </row>
    <row r="15" ht="12.75" customHeight="1">
      <c r="A15" s="1">
        <v>24.0</v>
      </c>
      <c r="B15" s="7">
        <v>4.215649</v>
      </c>
      <c r="C15" s="7">
        <v>4.379946</v>
      </c>
      <c r="D15" s="1"/>
      <c r="E15" s="1">
        <v>24.0</v>
      </c>
      <c r="F15" s="1">
        <f t="shared" ref="F15:G15" si="8">B$8/B15</f>
        <v>8.797208449</v>
      </c>
      <c r="G15" s="1">
        <f t="shared" si="8"/>
        <v>8.450012626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1" t="s">
        <v>0</v>
      </c>
      <c r="B1" s="2" t="s">
        <v>1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11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2" t="s">
        <v>5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44.897250372</v>
      </c>
      <c r="C8" s="7">
        <v>45.563189197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22.945150363</v>
      </c>
      <c r="C9" s="7">
        <v>22.613761692</v>
      </c>
      <c r="D9" s="1"/>
      <c r="E9" s="1">
        <v>2.0</v>
      </c>
      <c r="F9" s="1">
        <f t="shared" ref="F9:G9" si="2">B$8/B9</f>
        <v>1.956720687</v>
      </c>
      <c r="G9" s="1">
        <f t="shared" si="2"/>
        <v>2.014843431</v>
      </c>
      <c r="H9" s="1"/>
      <c r="I9" s="1"/>
    </row>
    <row r="10" ht="12.75" customHeight="1">
      <c r="A10" s="1">
        <v>3.0</v>
      </c>
      <c r="B10" s="7">
        <v>15.373905807</v>
      </c>
      <c r="C10" s="7">
        <v>15.342447692</v>
      </c>
      <c r="D10" s="1"/>
      <c r="E10" s="1">
        <v>3.0</v>
      </c>
      <c r="F10" s="1">
        <f t="shared" ref="F10:G10" si="3">B$8/B10</f>
        <v>2.920354199</v>
      </c>
      <c r="G10" s="1">
        <f t="shared" si="3"/>
        <v>2.969747078</v>
      </c>
      <c r="H10" s="1"/>
      <c r="I10" s="1"/>
    </row>
    <row r="11" ht="12.75" customHeight="1">
      <c r="A11" s="1">
        <v>4.0</v>
      </c>
      <c r="B11" s="7">
        <v>11.897751706</v>
      </c>
      <c r="C11" s="7">
        <v>11.826681245</v>
      </c>
      <c r="D11" s="1"/>
      <c r="E11" s="1">
        <v>4.0</v>
      </c>
      <c r="F11" s="1">
        <f t="shared" ref="F11:G11" si="4">B$8/B11</f>
        <v>3.773591136</v>
      </c>
      <c r="G11" s="1">
        <f t="shared" si="4"/>
        <v>3.852576074</v>
      </c>
      <c r="H11" s="1"/>
      <c r="I11" s="1"/>
    </row>
    <row r="12" ht="12.75" customHeight="1">
      <c r="A12" s="1">
        <v>5.0</v>
      </c>
      <c r="B12" s="7">
        <v>12.058602963</v>
      </c>
      <c r="C12" s="7">
        <v>12.072883394</v>
      </c>
      <c r="D12" s="1"/>
      <c r="E12" s="1">
        <v>5.0</v>
      </c>
      <c r="F12" s="1">
        <f t="shared" ref="F12:G12" si="5">B$8/B12</f>
        <v>3.723254718</v>
      </c>
      <c r="G12" s="1">
        <f t="shared" si="5"/>
        <v>3.774010542</v>
      </c>
      <c r="H12" s="1"/>
      <c r="I12" s="1"/>
    </row>
    <row r="13" ht="12.75" customHeight="1">
      <c r="A13" s="1">
        <v>8.0</v>
      </c>
      <c r="B13" s="7">
        <v>11.931539332</v>
      </c>
      <c r="C13" s="7">
        <v>12.16864228</v>
      </c>
      <c r="D13" s="1"/>
      <c r="E13" s="1">
        <v>8.0</v>
      </c>
      <c r="F13" s="1">
        <f t="shared" ref="F13:G13" si="6">B$8/B13</f>
        <v>3.762905114</v>
      </c>
      <c r="G13" s="1">
        <f t="shared" si="6"/>
        <v>3.744311662</v>
      </c>
      <c r="H13" s="1"/>
      <c r="I13" s="1"/>
    </row>
    <row r="14" ht="12.75" customHeight="1">
      <c r="A14" s="1">
        <v>16.0</v>
      </c>
      <c r="B14" s="7">
        <v>11.971340988</v>
      </c>
      <c r="C14" s="7">
        <v>12.409865513</v>
      </c>
      <c r="D14" s="1"/>
      <c r="E14" s="1">
        <v>16.0</v>
      </c>
      <c r="F14" s="1">
        <f t="shared" ref="F14:G14" si="7">B$8/B14</f>
        <v>3.750394414</v>
      </c>
      <c r="G14" s="1">
        <f t="shared" si="7"/>
        <v>3.671529651</v>
      </c>
      <c r="H14" s="1"/>
      <c r="I14" s="1"/>
    </row>
    <row r="15" ht="12.75" customHeight="1">
      <c r="A15" s="1">
        <v>24.0</v>
      </c>
      <c r="B15" s="7">
        <v>12.926559014</v>
      </c>
      <c r="C15" s="7">
        <v>11.951207249</v>
      </c>
      <c r="D15" s="1"/>
      <c r="E15" s="1">
        <v>24.0</v>
      </c>
      <c r="F15" s="1">
        <f t="shared" ref="F15:G15" si="8">B$8/B15</f>
        <v>3.473256133</v>
      </c>
      <c r="G15" s="1">
        <f t="shared" si="8"/>
        <v>3.812434028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1" t="s">
        <v>0</v>
      </c>
      <c r="B1" s="2" t="s">
        <v>1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3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3" t="s">
        <v>12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37.934343</v>
      </c>
      <c r="C8" s="7">
        <v>37.693958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18.846339</v>
      </c>
      <c r="C9" s="7">
        <v>18.904591</v>
      </c>
      <c r="D9" s="1"/>
      <c r="E9" s="1">
        <v>2.0</v>
      </c>
      <c r="F9" s="1">
        <f t="shared" ref="F9:G9" si="2">B$8/B9</f>
        <v>2.012822915</v>
      </c>
      <c r="G9" s="1">
        <f t="shared" si="2"/>
        <v>1.993904973</v>
      </c>
      <c r="H9" s="1"/>
      <c r="I9" s="1"/>
    </row>
    <row r="10" ht="12.75" customHeight="1">
      <c r="A10" s="1">
        <v>3.0</v>
      </c>
      <c r="B10" s="7">
        <v>12.666532</v>
      </c>
      <c r="C10" s="7">
        <v>12.644026</v>
      </c>
      <c r="D10" s="1"/>
      <c r="E10" s="1">
        <v>3.0</v>
      </c>
      <c r="F10" s="1">
        <f t="shared" ref="F10:G10" si="3">B$8/B10</f>
        <v>2.994848393</v>
      </c>
      <c r="G10" s="1">
        <f t="shared" si="3"/>
        <v>2.981167391</v>
      </c>
      <c r="H10" s="1"/>
      <c r="I10" s="1"/>
    </row>
    <row r="11" ht="12.75" customHeight="1">
      <c r="A11" s="1">
        <v>4.0</v>
      </c>
      <c r="B11" s="7">
        <v>9.520514</v>
      </c>
      <c r="C11" s="7">
        <v>10.079849</v>
      </c>
      <c r="D11" s="1"/>
      <c r="E11" s="1">
        <v>4.0</v>
      </c>
      <c r="F11" s="1">
        <f t="shared" ref="F11:G11" si="4">B$8/B11</f>
        <v>3.984484766</v>
      </c>
      <c r="G11" s="1">
        <f t="shared" si="4"/>
        <v>3.739535979</v>
      </c>
      <c r="H11" s="1"/>
      <c r="I11" s="1"/>
    </row>
    <row r="12" ht="12.75" customHeight="1">
      <c r="A12" s="1">
        <v>5.0</v>
      </c>
      <c r="B12" s="7">
        <v>7.760499</v>
      </c>
      <c r="C12" s="7">
        <v>7.662163</v>
      </c>
      <c r="D12" s="1"/>
      <c r="E12" s="1">
        <v>5.0</v>
      </c>
      <c r="F12" s="1">
        <f t="shared" ref="F12:G12" si="5">B$8/B12</f>
        <v>4.888131936</v>
      </c>
      <c r="G12" s="1">
        <f t="shared" si="5"/>
        <v>4.919493099</v>
      </c>
      <c r="H12" s="1"/>
      <c r="I12" s="1"/>
    </row>
    <row r="13" ht="12.75" customHeight="1">
      <c r="A13" s="1">
        <v>8.0</v>
      </c>
      <c r="B13" s="7">
        <v>5.955114</v>
      </c>
      <c r="C13" s="7">
        <v>5.766798</v>
      </c>
      <c r="D13" s="1"/>
      <c r="E13" s="1">
        <v>8.0</v>
      </c>
      <c r="F13" s="1">
        <f t="shared" ref="F13:G13" si="6">B$8/B13</f>
        <v>6.370044805</v>
      </c>
      <c r="G13" s="1">
        <f t="shared" si="6"/>
        <v>6.536375646</v>
      </c>
      <c r="H13" s="1"/>
      <c r="I13" s="1"/>
    </row>
    <row r="14" ht="12.75" customHeight="1">
      <c r="A14" s="1">
        <v>16.0</v>
      </c>
      <c r="B14" s="7">
        <v>4.043696</v>
      </c>
      <c r="C14" s="7">
        <v>4.1152</v>
      </c>
      <c r="D14" s="1"/>
      <c r="E14" s="1">
        <v>16.0</v>
      </c>
      <c r="F14" s="1">
        <f t="shared" ref="F14:G14" si="7">B$8/B14</f>
        <v>9.381106542</v>
      </c>
      <c r="G14" s="1">
        <f t="shared" si="7"/>
        <v>9.159690416</v>
      </c>
      <c r="H14" s="1"/>
      <c r="I14" s="1"/>
    </row>
    <row r="15" ht="12.75" customHeight="1">
      <c r="A15" s="1">
        <v>24.0</v>
      </c>
      <c r="B15" s="7">
        <v>4.149546</v>
      </c>
      <c r="C15" s="7">
        <v>3.949145</v>
      </c>
      <c r="D15" s="1"/>
      <c r="E15" s="1">
        <v>24.0</v>
      </c>
      <c r="F15" s="1">
        <f t="shared" ref="F15:G15" si="8">B$8/B15</f>
        <v>9.141805634</v>
      </c>
      <c r="G15" s="1">
        <f t="shared" si="8"/>
        <v>9.544840212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1" t="s">
        <v>0</v>
      </c>
      <c r="B1" s="2" t="s">
        <v>1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11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3" t="s">
        <v>12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44.833646655</v>
      </c>
      <c r="C8" s="7">
        <v>44.996043477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41.837931806</v>
      </c>
      <c r="C9" s="7">
        <v>23.889771373</v>
      </c>
      <c r="D9" s="1"/>
      <c r="E9" s="1">
        <v>2.0</v>
      </c>
      <c r="F9" s="1">
        <f t="shared" ref="F9:G9" si="2">B$8/B9</f>
        <v>1.071602843</v>
      </c>
      <c r="G9" s="1">
        <f t="shared" si="2"/>
        <v>1.88348573</v>
      </c>
      <c r="H9" s="1"/>
      <c r="I9" s="1"/>
    </row>
    <row r="10" ht="12.75" customHeight="1">
      <c r="A10" s="1">
        <v>3.0</v>
      </c>
      <c r="B10" s="7">
        <v>28.112608574</v>
      </c>
      <c r="C10" s="7">
        <v>15.292654607</v>
      </c>
      <c r="D10" s="1"/>
      <c r="E10" s="1">
        <v>3.0</v>
      </c>
      <c r="F10" s="1">
        <f t="shared" ref="F10:G10" si="3">B$8/B10</f>
        <v>1.594787852</v>
      </c>
      <c r="G10" s="1">
        <f t="shared" si="3"/>
        <v>2.942330461</v>
      </c>
      <c r="H10" s="1"/>
      <c r="I10" s="1"/>
    </row>
    <row r="11" ht="12.75" customHeight="1">
      <c r="A11" s="1">
        <v>4.0</v>
      </c>
      <c r="B11" s="7">
        <v>20.059181395</v>
      </c>
      <c r="C11" s="7">
        <v>12.564988568</v>
      </c>
      <c r="D11" s="1"/>
      <c r="E11" s="1">
        <v>4.0</v>
      </c>
      <c r="F11" s="1">
        <f t="shared" ref="F11:G11" si="4">B$8/B11</f>
        <v>2.235068609</v>
      </c>
      <c r="G11" s="1">
        <f t="shared" si="4"/>
        <v>3.581065214</v>
      </c>
      <c r="H11" s="1"/>
      <c r="I11" s="1"/>
    </row>
    <row r="12" ht="12.75" customHeight="1">
      <c r="A12" s="1">
        <v>5.0</v>
      </c>
      <c r="B12" s="7">
        <v>17.958394497</v>
      </c>
      <c r="C12" s="7">
        <v>12.341347927</v>
      </c>
      <c r="D12" s="1"/>
      <c r="E12" s="1">
        <v>5.0</v>
      </c>
      <c r="F12" s="1">
        <f t="shared" ref="F12:G12" si="5">B$8/B12</f>
        <v>2.496528666</v>
      </c>
      <c r="G12" s="1">
        <f t="shared" si="5"/>
        <v>3.645958589</v>
      </c>
      <c r="H12" s="1"/>
      <c r="I12" s="1"/>
    </row>
    <row r="13" ht="12.75" customHeight="1">
      <c r="A13" s="1">
        <v>8.0</v>
      </c>
      <c r="B13" s="7">
        <v>15.190987435</v>
      </c>
      <c r="C13" s="7">
        <v>14.138409734</v>
      </c>
      <c r="D13" s="1"/>
      <c r="E13" s="1">
        <v>8.0</v>
      </c>
      <c r="F13" s="1">
        <f t="shared" ref="F13:G13" si="6">B$8/B13</f>
        <v>2.951331956</v>
      </c>
      <c r="G13" s="1">
        <f t="shared" si="6"/>
        <v>3.182539219</v>
      </c>
      <c r="H13" s="1"/>
      <c r="I13" s="1"/>
    </row>
    <row r="14" ht="12.75" customHeight="1">
      <c r="A14" s="1">
        <v>16.0</v>
      </c>
      <c r="B14" s="7">
        <v>12.391885531</v>
      </c>
      <c r="C14" s="7">
        <v>30.010094774</v>
      </c>
      <c r="D14" s="1"/>
      <c r="E14" s="1">
        <v>16.0</v>
      </c>
      <c r="F14" s="1">
        <f t="shared" ref="F14:G14" si="7">B$8/B14</f>
        <v>3.617984248</v>
      </c>
      <c r="G14" s="1">
        <f t="shared" si="7"/>
        <v>1.499363591</v>
      </c>
      <c r="H14" s="1"/>
      <c r="I14" s="1"/>
    </row>
    <row r="15" ht="12.75" customHeight="1">
      <c r="A15" s="1">
        <v>24.0</v>
      </c>
      <c r="B15" s="7">
        <v>12.268257375</v>
      </c>
      <c r="C15" s="7">
        <v>12.564687404</v>
      </c>
      <c r="D15" s="1"/>
      <c r="E15" s="1">
        <v>24.0</v>
      </c>
      <c r="F15" s="1">
        <f t="shared" ref="F15:G15" si="8">B$8/B15</f>
        <v>3.654442949</v>
      </c>
      <c r="G15" s="1">
        <f t="shared" si="8"/>
        <v>3.581151049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1" t="s">
        <v>0</v>
      </c>
      <c r="B1" s="3" t="s">
        <v>13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3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3" t="s">
        <v>5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36.802397</v>
      </c>
      <c r="C8" s="7">
        <v>37.249283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34.792948</v>
      </c>
      <c r="C9" s="7">
        <v>19.352833</v>
      </c>
      <c r="D9" s="1"/>
      <c r="E9" s="1">
        <v>2.0</v>
      </c>
      <c r="F9" s="1">
        <f t="shared" ref="F9:G9" si="2">B$8/B9</f>
        <v>1.057754491</v>
      </c>
      <c r="G9" s="1">
        <f t="shared" si="2"/>
        <v>1.924745747</v>
      </c>
      <c r="H9" s="1"/>
      <c r="I9" s="1"/>
    </row>
    <row r="10" ht="12.75" customHeight="1">
      <c r="A10" s="1">
        <v>3.0</v>
      </c>
      <c r="B10" s="7">
        <v>23.401246</v>
      </c>
      <c r="C10" s="7">
        <v>12.381835</v>
      </c>
      <c r="D10" s="1"/>
      <c r="E10" s="1">
        <v>3.0</v>
      </c>
      <c r="F10" s="1">
        <f t="shared" ref="F10:G10" si="3">B$8/B10</f>
        <v>1.572668267</v>
      </c>
      <c r="G10" s="1">
        <f t="shared" si="3"/>
        <v>3.008381472</v>
      </c>
      <c r="H10" s="1"/>
      <c r="I10" s="1"/>
    </row>
    <row r="11" ht="12.75" customHeight="1">
      <c r="A11" s="1">
        <v>4.0</v>
      </c>
      <c r="B11" s="7">
        <v>9.520514</v>
      </c>
      <c r="C11" s="7">
        <v>10.079849</v>
      </c>
      <c r="D11" s="1"/>
      <c r="E11" s="1">
        <v>4.0</v>
      </c>
      <c r="F11" s="1">
        <f t="shared" ref="F11:G11" si="4">B$8/B11</f>
        <v>3.865589295</v>
      </c>
      <c r="G11" s="1">
        <f t="shared" si="4"/>
        <v>3.695420735</v>
      </c>
      <c r="H11" s="1"/>
      <c r="I11" s="1"/>
    </row>
    <row r="12" ht="12.75" customHeight="1">
      <c r="A12" s="1">
        <v>5.0</v>
      </c>
      <c r="B12" s="7">
        <v>14.100374</v>
      </c>
      <c r="C12" s="7">
        <v>7.571535</v>
      </c>
      <c r="D12" s="1"/>
      <c r="E12" s="1">
        <v>5.0</v>
      </c>
      <c r="F12" s="1">
        <f t="shared" ref="F12:G12" si="5">B$8/B12</f>
        <v>2.610029847</v>
      </c>
      <c r="G12" s="1">
        <f t="shared" si="5"/>
        <v>4.919647469</v>
      </c>
      <c r="H12" s="1"/>
      <c r="I12" s="1"/>
    </row>
    <row r="13" ht="12.75" customHeight="1">
      <c r="A13" s="1">
        <v>8.0</v>
      </c>
      <c r="B13" s="7">
        <v>9.504612</v>
      </c>
      <c r="C13" s="7">
        <v>5.288414</v>
      </c>
      <c r="D13" s="1"/>
      <c r="E13" s="1">
        <v>8.0</v>
      </c>
      <c r="F13" s="1">
        <f t="shared" ref="F13:G13" si="6">B$8/B13</f>
        <v>3.872056745</v>
      </c>
      <c r="G13" s="1">
        <f t="shared" si="6"/>
        <v>7.043564101</v>
      </c>
      <c r="H13" s="1"/>
      <c r="I13" s="1"/>
    </row>
    <row r="14" ht="12.75" customHeight="1">
      <c r="A14" s="1">
        <v>16.0</v>
      </c>
      <c r="B14" s="7">
        <v>5.227518</v>
      </c>
      <c r="C14" s="7">
        <v>4.107601</v>
      </c>
      <c r="D14" s="1"/>
      <c r="E14" s="1">
        <v>16.0</v>
      </c>
      <c r="F14" s="1">
        <f t="shared" ref="F14:G14" si="7">B$8/B14</f>
        <v>7.040128221</v>
      </c>
      <c r="G14" s="1">
        <f t="shared" si="7"/>
        <v>9.068379086</v>
      </c>
      <c r="H14" s="1"/>
      <c r="I14" s="1"/>
    </row>
    <row r="15" ht="12.75" customHeight="1">
      <c r="A15" s="1">
        <v>24.0</v>
      </c>
      <c r="B15" s="7">
        <v>3.70629</v>
      </c>
      <c r="C15" s="7">
        <v>3.74966</v>
      </c>
      <c r="D15" s="1"/>
      <c r="E15" s="1">
        <v>24.0</v>
      </c>
      <c r="F15" s="1">
        <f t="shared" ref="F15:G15" si="8">B$8/B15</f>
        <v>9.929713271</v>
      </c>
      <c r="G15" s="1">
        <f t="shared" si="8"/>
        <v>9.93404282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1" t="s">
        <v>0</v>
      </c>
      <c r="B1" s="3" t="s">
        <v>13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11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3" t="s">
        <v>5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45.385364973</v>
      </c>
      <c r="C8" s="7">
        <v>46.21182261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22.886053325</v>
      </c>
      <c r="C9" s="7">
        <v>22.785867152</v>
      </c>
      <c r="D9" s="1"/>
      <c r="E9" s="1">
        <v>2.0</v>
      </c>
      <c r="F9" s="1">
        <f t="shared" ref="F9:G9" si="2">B$8/B9</f>
        <v>1.983101426</v>
      </c>
      <c r="G9" s="1">
        <f t="shared" si="2"/>
        <v>2.028091461</v>
      </c>
      <c r="H9" s="1"/>
      <c r="I9" s="1"/>
    </row>
    <row r="10" ht="12.75" customHeight="1">
      <c r="A10" s="1">
        <v>3.0</v>
      </c>
      <c r="B10" s="7">
        <v>15.576317008</v>
      </c>
      <c r="C10" s="7">
        <v>15.407322492</v>
      </c>
      <c r="D10" s="1"/>
      <c r="E10" s="1">
        <v>3.0</v>
      </c>
      <c r="F10" s="1">
        <f t="shared" ref="F10:G10" si="3">B$8/B10</f>
        <v>2.913741737</v>
      </c>
      <c r="G10" s="1">
        <f t="shared" si="3"/>
        <v>2.999341556</v>
      </c>
      <c r="H10" s="1"/>
      <c r="I10" s="1"/>
    </row>
    <row r="11" ht="12.75" customHeight="1">
      <c r="A11" s="1">
        <v>4.0</v>
      </c>
      <c r="B11" s="7">
        <v>11.841958279</v>
      </c>
      <c r="C11" s="7">
        <v>11.942709269</v>
      </c>
      <c r="D11" s="1"/>
      <c r="E11" s="1">
        <v>4.0</v>
      </c>
      <c r="F11" s="1">
        <f t="shared" ref="F11:G11" si="4">B$8/B11</f>
        <v>3.832589501</v>
      </c>
      <c r="G11" s="1">
        <f t="shared" si="4"/>
        <v>3.869458895</v>
      </c>
      <c r="H11" s="1"/>
      <c r="I11" s="1"/>
    </row>
    <row r="12" ht="12.75" customHeight="1">
      <c r="A12" s="1">
        <v>5.0</v>
      </c>
      <c r="B12" s="7">
        <v>12.154709947</v>
      </c>
      <c r="C12" s="7">
        <v>12.359959638</v>
      </c>
      <c r="D12" s="1"/>
      <c r="E12" s="1">
        <v>5.0</v>
      </c>
      <c r="F12" s="1">
        <f t="shared" ref="F12:G12" si="5">B$8/B12</f>
        <v>3.733973511</v>
      </c>
      <c r="G12" s="1">
        <f t="shared" si="5"/>
        <v>3.738832809</v>
      </c>
      <c r="H12" s="1"/>
      <c r="I12" s="1"/>
    </row>
    <row r="13" ht="12.75" customHeight="1">
      <c r="A13" s="1">
        <v>8.0</v>
      </c>
      <c r="B13" s="7">
        <v>12.148355001</v>
      </c>
      <c r="C13" s="7">
        <v>12.056769111</v>
      </c>
      <c r="D13" s="1"/>
      <c r="E13" s="1">
        <v>8.0</v>
      </c>
      <c r="F13" s="1">
        <f t="shared" ref="F13:G13" si="6">B$8/B13</f>
        <v>3.735926796</v>
      </c>
      <c r="G13" s="1">
        <f t="shared" si="6"/>
        <v>3.832852913</v>
      </c>
      <c r="H13" s="1"/>
      <c r="I13" s="1"/>
    </row>
    <row r="14" ht="12.75" customHeight="1">
      <c r="A14" s="1">
        <v>16.0</v>
      </c>
      <c r="B14" s="7">
        <v>13.422995004</v>
      </c>
      <c r="C14" s="7">
        <v>12.466576697</v>
      </c>
      <c r="D14" s="1"/>
      <c r="E14" s="1">
        <v>16.0</v>
      </c>
      <c r="F14" s="1">
        <f t="shared" ref="F14:G14" si="7">B$8/B14</f>
        <v>3.381165303</v>
      </c>
      <c r="G14" s="1">
        <f t="shared" si="7"/>
        <v>3.706857442</v>
      </c>
      <c r="H14" s="1"/>
      <c r="I14" s="1"/>
    </row>
    <row r="15" ht="12.75" customHeight="1">
      <c r="A15" s="1">
        <v>24.0</v>
      </c>
      <c r="B15" s="7">
        <v>12.740734456</v>
      </c>
      <c r="C15" s="7">
        <v>14.429759568</v>
      </c>
      <c r="D15" s="1"/>
      <c r="E15" s="1">
        <v>24.0</v>
      </c>
      <c r="F15" s="1">
        <f t="shared" ref="F15:G15" si="8">B$8/B15</f>
        <v>3.562225171</v>
      </c>
      <c r="G15" s="1">
        <f t="shared" si="8"/>
        <v>3.20253587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8" t="s">
        <v>14</v>
      </c>
      <c r="B1" s="3" t="s">
        <v>13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3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3" t="s">
        <v>12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37.252689</v>
      </c>
      <c r="C8" s="7">
        <v>37.503611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19.630116</v>
      </c>
      <c r="C9" s="7">
        <v>19.677616</v>
      </c>
      <c r="D9" s="1"/>
      <c r="E9" s="1">
        <v>2.0</v>
      </c>
      <c r="F9" s="1">
        <f t="shared" ref="F9:G9" si="2">B$8/B9</f>
        <v>1.897731475</v>
      </c>
      <c r="G9" s="1">
        <f t="shared" si="2"/>
        <v>1.905902168</v>
      </c>
      <c r="H9" s="1"/>
      <c r="I9" s="1"/>
    </row>
    <row r="10" ht="12.75" customHeight="1">
      <c r="A10" s="1">
        <v>3.0</v>
      </c>
      <c r="B10" s="7">
        <v>12.389657</v>
      </c>
      <c r="C10" s="7">
        <v>12.381835</v>
      </c>
      <c r="D10" s="1"/>
      <c r="E10" s="1">
        <v>3.0</v>
      </c>
      <c r="F10" s="1">
        <f t="shared" ref="F10:G10" si="3">B$8/B10</f>
        <v>3.006757088</v>
      </c>
      <c r="G10" s="1">
        <f t="shared" si="3"/>
        <v>3.028921884</v>
      </c>
      <c r="H10" s="1"/>
      <c r="I10" s="1"/>
    </row>
    <row r="11" ht="12.75" customHeight="1">
      <c r="A11" s="1">
        <v>4.0</v>
      </c>
      <c r="B11" s="7">
        <v>9.952311</v>
      </c>
      <c r="C11" s="7">
        <v>10.063685</v>
      </c>
      <c r="D11" s="1"/>
      <c r="E11" s="1">
        <v>4.0</v>
      </c>
      <c r="F11" s="1">
        <f t="shared" ref="F11:G11" si="4">B$8/B11</f>
        <v>3.743119462</v>
      </c>
      <c r="G11" s="1">
        <f t="shared" si="4"/>
        <v>3.726628069</v>
      </c>
      <c r="H11" s="1"/>
      <c r="I11" s="1"/>
    </row>
    <row r="12" ht="12.75" customHeight="1">
      <c r="A12" s="1">
        <v>5.0</v>
      </c>
      <c r="B12" s="7">
        <v>7.555877</v>
      </c>
      <c r="C12" s="7">
        <v>7.571535</v>
      </c>
      <c r="D12" s="1"/>
      <c r="E12" s="1">
        <v>5.0</v>
      </c>
      <c r="F12" s="1">
        <f t="shared" ref="F12:G12" si="5">B$8/B12</f>
        <v>4.930293201</v>
      </c>
      <c r="G12" s="1">
        <f t="shared" si="5"/>
        <v>4.953237488</v>
      </c>
      <c r="H12" s="1"/>
      <c r="I12" s="1"/>
    </row>
    <row r="13" ht="12.75" customHeight="1">
      <c r="A13" s="1">
        <v>8.0</v>
      </c>
      <c r="B13" s="7">
        <v>5.64287</v>
      </c>
      <c r="C13" s="7">
        <v>5.65213</v>
      </c>
      <c r="D13" s="1"/>
      <c r="E13" s="1">
        <v>8.0</v>
      </c>
      <c r="F13" s="1">
        <f t="shared" ref="F13:G13" si="6">B$8/B13</f>
        <v>6.601727313</v>
      </c>
      <c r="G13" s="1">
        <f t="shared" si="6"/>
        <v>6.635305805</v>
      </c>
      <c r="H13" s="1"/>
      <c r="I13" s="1"/>
    </row>
    <row r="14" ht="12.75" customHeight="1">
      <c r="A14" s="1">
        <v>16.0</v>
      </c>
      <c r="B14" s="7">
        <v>3.983053</v>
      </c>
      <c r="C14" s="7">
        <v>4.196385</v>
      </c>
      <c r="D14" s="1"/>
      <c r="E14" s="1">
        <v>16.0</v>
      </c>
      <c r="F14" s="1">
        <f t="shared" ref="F14:G14" si="7">B$8/B14</f>
        <v>9.352797716</v>
      </c>
      <c r="G14" s="1">
        <f t="shared" si="7"/>
        <v>8.9371235</v>
      </c>
      <c r="H14" s="1"/>
      <c r="I14" s="1"/>
    </row>
    <row r="15" ht="12.75" customHeight="1">
      <c r="A15" s="1">
        <v>24.0</v>
      </c>
      <c r="B15" s="7">
        <v>3.994327</v>
      </c>
      <c r="C15" s="7">
        <v>3.993197</v>
      </c>
      <c r="D15" s="1"/>
      <c r="E15" s="1">
        <v>24.0</v>
      </c>
      <c r="F15" s="1">
        <f t="shared" ref="F15:G15" si="8">B$8/B15</f>
        <v>9.326399416</v>
      </c>
      <c r="G15" s="1">
        <f t="shared" si="8"/>
        <v>9.391875983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5"/>
    <col customWidth="1" min="10" max="26" width="8.63"/>
  </cols>
  <sheetData>
    <row r="1" ht="12.75" customHeight="1">
      <c r="A1" s="8" t="s">
        <v>14</v>
      </c>
      <c r="B1" s="3" t="s">
        <v>13</v>
      </c>
      <c r="C1" s="2"/>
      <c r="D1" s="1"/>
      <c r="E1" s="1"/>
      <c r="F1" s="1"/>
      <c r="G1" s="1"/>
      <c r="H1" s="1"/>
      <c r="I1" s="1"/>
    </row>
    <row r="2" ht="12.75" customHeight="1">
      <c r="A2" s="1" t="s">
        <v>2</v>
      </c>
      <c r="B2" s="3" t="s">
        <v>11</v>
      </c>
      <c r="C2" s="2"/>
      <c r="D2" s="1"/>
      <c r="E2" s="1"/>
      <c r="F2" s="1"/>
      <c r="G2" s="1"/>
      <c r="H2" s="1"/>
      <c r="I2" s="1"/>
    </row>
    <row r="3" ht="12.75" customHeight="1">
      <c r="A3" s="1" t="s">
        <v>4</v>
      </c>
      <c r="B3" s="3" t="s">
        <v>12</v>
      </c>
      <c r="C3" s="2"/>
      <c r="D3" s="1"/>
      <c r="E3" s="1"/>
      <c r="F3" s="1"/>
      <c r="G3" s="1"/>
      <c r="H3" s="1"/>
      <c r="I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</row>
    <row r="5" ht="12.75" customHeight="1">
      <c r="A5" s="4"/>
      <c r="H5" s="1"/>
      <c r="I5" s="1"/>
    </row>
    <row r="6" ht="12.75" customHeight="1">
      <c r="A6" s="5" t="s">
        <v>6</v>
      </c>
      <c r="D6" s="1"/>
      <c r="E6" s="6" t="s">
        <v>7</v>
      </c>
      <c r="H6" s="1"/>
      <c r="I6" s="1"/>
    </row>
    <row r="7" ht="12.75" customHeight="1">
      <c r="A7" s="1" t="s">
        <v>8</v>
      </c>
      <c r="B7" s="1" t="s">
        <v>9</v>
      </c>
      <c r="C7" s="1" t="s">
        <v>10</v>
      </c>
      <c r="D7" s="1"/>
      <c r="E7" s="1" t="s">
        <v>8</v>
      </c>
      <c r="F7" s="1" t="s">
        <v>9</v>
      </c>
      <c r="G7" s="1" t="s">
        <v>10</v>
      </c>
      <c r="H7" s="1"/>
      <c r="I7" s="1"/>
    </row>
    <row r="8" ht="12.75" customHeight="1">
      <c r="A8" s="1">
        <v>1.0</v>
      </c>
      <c r="B8" s="7">
        <v>45.01718081</v>
      </c>
      <c r="C8" s="7">
        <v>45.05759569</v>
      </c>
      <c r="D8" s="1"/>
      <c r="E8" s="1">
        <v>1.0</v>
      </c>
      <c r="F8" s="1">
        <f t="shared" ref="F8:G8" si="1">B$8/B8</f>
        <v>1</v>
      </c>
      <c r="G8" s="1">
        <f t="shared" si="1"/>
        <v>1</v>
      </c>
      <c r="H8" s="1"/>
    </row>
    <row r="9" ht="12.75" customHeight="1">
      <c r="A9" s="1">
        <v>2.0</v>
      </c>
      <c r="B9" s="7">
        <v>24.028577508</v>
      </c>
      <c r="C9" s="7">
        <v>24.700387478</v>
      </c>
      <c r="D9" s="1"/>
      <c r="E9" s="1">
        <v>2.0</v>
      </c>
      <c r="F9" s="1">
        <f t="shared" ref="F9:G9" si="2">B$8/B9</f>
        <v>1.873485053</v>
      </c>
      <c r="G9" s="1">
        <f t="shared" si="2"/>
        <v>1.824165541</v>
      </c>
      <c r="H9" s="1"/>
      <c r="I9" s="1"/>
    </row>
    <row r="10" ht="12.75" customHeight="1">
      <c r="A10" s="1">
        <v>3.0</v>
      </c>
      <c r="B10" s="7">
        <v>15.419755073</v>
      </c>
      <c r="C10" s="7">
        <v>15.547905728</v>
      </c>
      <c r="D10" s="1"/>
      <c r="E10" s="1">
        <v>3.0</v>
      </c>
      <c r="F10" s="1">
        <f t="shared" ref="F10:G10" si="3">B$8/B10</f>
        <v>2.919448499</v>
      </c>
      <c r="G10" s="1">
        <f t="shared" si="3"/>
        <v>2.897984878</v>
      </c>
      <c r="H10" s="1"/>
      <c r="I10" s="1"/>
    </row>
    <row r="11" ht="12.75" customHeight="1">
      <c r="A11" s="1">
        <v>4.0</v>
      </c>
      <c r="B11" s="7">
        <v>13.465918302</v>
      </c>
      <c r="C11" s="7">
        <v>12.763421185</v>
      </c>
      <c r="D11" s="1"/>
      <c r="E11" s="1">
        <v>4.0</v>
      </c>
      <c r="F11" s="1">
        <f t="shared" ref="F11:G11" si="4">B$8/B11</f>
        <v>3.34304574</v>
      </c>
      <c r="G11" s="1">
        <f t="shared" si="4"/>
        <v>3.530213023</v>
      </c>
      <c r="H11" s="1"/>
      <c r="I11" s="1"/>
    </row>
    <row r="12" ht="12.75" customHeight="1">
      <c r="A12" s="1">
        <v>5.0</v>
      </c>
      <c r="B12" s="7">
        <v>14.903143396</v>
      </c>
      <c r="C12" s="7">
        <v>13.054390456</v>
      </c>
      <c r="D12" s="1"/>
      <c r="E12" s="1">
        <v>5.0</v>
      </c>
      <c r="F12" s="1">
        <f t="shared" ref="F12:G12" si="5">B$8/B12</f>
        <v>3.020650048</v>
      </c>
      <c r="G12" s="1">
        <f t="shared" si="5"/>
        <v>3.451528116</v>
      </c>
      <c r="H12" s="1"/>
      <c r="I12" s="1"/>
    </row>
    <row r="13" ht="12.75" customHeight="1">
      <c r="A13" s="1">
        <v>8.0</v>
      </c>
      <c r="B13" s="7">
        <v>15.628976171</v>
      </c>
      <c r="C13" s="7">
        <v>15.827113805</v>
      </c>
      <c r="D13" s="1"/>
      <c r="E13" s="1">
        <v>8.0</v>
      </c>
      <c r="F13" s="1">
        <f t="shared" ref="F13:G13" si="6">B$8/B13</f>
        <v>2.880366591</v>
      </c>
      <c r="G13" s="1">
        <f t="shared" si="6"/>
        <v>2.846861168</v>
      </c>
      <c r="H13" s="1"/>
      <c r="I13" s="1"/>
    </row>
    <row r="14" ht="12.75" customHeight="1">
      <c r="A14" s="1">
        <v>16.0</v>
      </c>
      <c r="B14" s="7">
        <v>13.918904362</v>
      </c>
      <c r="C14" s="7">
        <v>16.390255081</v>
      </c>
      <c r="D14" s="1"/>
      <c r="E14" s="1">
        <v>16.0</v>
      </c>
      <c r="F14" s="1">
        <f t="shared" ref="F14:G14" si="7">B$8/B14</f>
        <v>3.234247441</v>
      </c>
      <c r="G14" s="1">
        <f t="shared" si="7"/>
        <v>2.749047862</v>
      </c>
      <c r="H14" s="1"/>
      <c r="I14" s="1"/>
    </row>
    <row r="15" ht="12.75" customHeight="1">
      <c r="A15" s="1">
        <v>24.0</v>
      </c>
      <c r="B15" s="7">
        <v>12.474767052</v>
      </c>
      <c r="C15" s="7">
        <v>14.444418769</v>
      </c>
      <c r="D15" s="1"/>
      <c r="E15" s="1">
        <v>24.0</v>
      </c>
      <c r="F15" s="1">
        <f t="shared" ref="F15:G15" si="8">B$8/B15</f>
        <v>3.608659033</v>
      </c>
      <c r="G15" s="1">
        <f t="shared" si="8"/>
        <v>3.119377554</v>
      </c>
      <c r="H15" s="1"/>
      <c r="I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G5"/>
    <mergeCell ref="A6:C6"/>
    <mergeCell ref="E6:G6"/>
  </mergeCells>
  <printOptions/>
  <pageMargins bottom="0.7875" footer="0.0" header="0.0" left="0.7875" right="0.7875" top="0.7875"/>
  <pageSetup paperSize="9" orientation="portrait"/>
  <drawing r:id="rId1"/>
</worksheet>
</file>